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<sst xmlns="http://schemas.openxmlformats.org/spreadsheetml/2006/main" count="37" uniqueCount="33">
  <si>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Pornirea</t>
  </si>
  <si>
    <t xml:space="preserve">Destinația</t>
  </si>
  <si>
    <t xml:space="preserve">Distanța (km)</t>
  </si>
  <si>
    <t xml:space="preserve">Volum (tone)</t>
  </si>
  <si>
    <t xml:space="preserve">Preț per tonă (EUR)</t>
  </si>
  <si>
    <t xml:space="preserve">Preț rută (EUR)</t>
  </si>
  <si>
    <t xml:space="preserve">Curs EUR/MDL</t>
  </si>
  <si>
    <t xml:space="preserve">Preț rută (MDL)</t>
  </si>
  <si>
    <t xml:space="preserve">Combustibil (L)</t>
  </si>
  <si>
    <t xml:space="preserve">Preț combustibil (MDL/L)</t>
  </si>
  <si>
    <t xml:space="preserve">Cost combustibil (MDL)</t>
  </si>
  <si>
    <t xml:space="preserve">Salariu (MDL)</t>
  </si>
  <si>
    <t xml:space="preserve">Zile</t>
  </si>
  <si>
    <t xml:space="preserve">Uzură (MDL)</t>
  </si>
  <si>
    <t xml:space="preserve">Vamă (MDL)</t>
  </si>
  <si>
    <t xml:space="preserve">Rovinietă (MDL)</t>
  </si>
  <si>
    <t xml:space="preserve">Profit final (MDL)</t>
  </si>
  <si>
    <t xml:space="preserve">PARAMETRI</t>
  </si>
  <si>
    <t xml:space="preserve">Hâncești</t>
  </si>
  <si>
    <t xml:space="preserve">Brăila</t>
  </si>
  <si>
    <t xml:space="preserve">Consum (L/km)</t>
  </si>
  <si>
    <t xml:space="preserve">Uzură (MDL/km)</t>
  </si>
  <si>
    <t xml:space="preserve">Salariu prima zi (MDL)</t>
  </si>
  <si>
    <t xml:space="preserve">Salariu zi adițională (MDL)</t>
  </si>
  <si>
    <t xml:space="preserve">LEGENDĂ</t>
  </si>
  <si>
    <t xml:space="preserve">Galben = parametri globali, se editează aici o singură dată.</t>
  </si>
  <si>
    <t xml:space="preserve">Albastru = date introduse manual pentru fiecare rută (coloanele A, B, C, D, E, M).</t>
  </si>
  <si>
    <t xml:space="preserve">Coloana Zile are drop-down (1–14). Salariu = prima zi + (zile − 1) × zi adițională.</t>
  </si>
  <si>
    <t xml:space="preserve">Negru = calculat automat, nu se scrie peste.</t>
  </si>
  <si>
    <t xml:space="preserve">Vamă / Rovinietă: preiau valoarea din parametri. Dacă o rută nu are vamă, scrie 0 direct în celulă.</t>
  </si>
  <si>
    <t xml:space="preserve">Rândul 2 este un exemplu real (Hâncești–Brăila). Poate fi șters sau suprascris.</t>
  </si>
  <si>
    <t xml:space="preserve">Profit final = Preț rută (MDL) − combustibil − salariu − uzură − vamă − rovinietă.</t>
  </si>
  <si>
    <t xml:space="preserve">TOTAL profit: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</si>
</sst>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0"/>
    <numFmt numFmtId="168" formatCode="#,##0.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4" min="12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0" min="20" style="0" width="1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4" t="n">
        <v>440</v>
      </c>
      <c r="D2" s="5" t="n">
        <v>25</v>
      </c>
      <c r="E2" s="5" t="n">
        <v>35</v>
      </c>
      <c r="F2" s="6" t="n">
        <f aca="false">IF($D2="","",$D2*$E2)</f>
        <v>875</v>
      </c>
      <c r="G2" s="7" t="n">
        <f aca="false">IF($C2="","",$T$6)</f>
        <v>19.9</v>
      </c>
      <c r="H2" s="6" t="n">
        <f aca="false">IF($F2="","",$F2*$G2)</f>
        <v>17412.5</v>
      </c>
      <c r="I2" s="8" t="n">
        <f aca="false">IF($C2="","",$C2*$T$2)</f>
        <v>198</v>
      </c>
      <c r="J2" s="6" t="n">
        <f aca="false">IF($C2="","",$T$7)</f>
        <v>32</v>
      </c>
      <c r="K2" s="6" t="n">
        <f aca="false">IF($I2="","",$I2*$J2)</f>
        <v>6336</v>
      </c>
      <c r="L2" s="9" t="n">
        <f aca="false">IF($M2="","",$T$8+($M2-1)*$T$9)</f>
        <v>4200</v>
      </c>
      <c r="M2" s="10" t="n">
        <v>3</v>
      </c>
      <c r="N2" s="6" t="n">
        <f aca="false">IF($C2="","",$C2*$T$3)</f>
        <v>880</v>
      </c>
      <c r="O2" s="9" t="n">
        <f aca="false">IF($C2="","",$T$4)</f>
        <v>700</v>
      </c>
      <c r="P2" s="9" t="n">
        <f aca="false">IF($C2="","",$T$5)</f>
        <v>600</v>
      </c>
      <c r="Q2" s="11" t="n">
        <f aca="false">IF($H2="","",$H2-N($K2)-N($L2)-N($N2)-N($O2)-N($P2))</f>
        <v>4696.5</v>
      </c>
      <c r="S2" s="12" t="s">
        <v>20</v>
      </c>
      <c r="T2" s="13" t="n">
        <v>0.45</v>
      </c>
    </row>
    <row r="3" customFormat="false" ht="15" hidden="false" customHeight="false" outlineLevel="0" collapsed="false">
      <c r="A3" s="3"/>
      <c r="B3" s="3"/>
      <c r="C3" s="4"/>
      <c r="D3" s="5"/>
      <c r="E3" s="5"/>
      <c r="F3" s="6" t="str">
        <f aca="false">IF($D3="","",$D3*$E3)</f>
        <v/>
      </c>
      <c r="G3" s="7" t="str">
        <f aca="false">IF($C3="","",$T$6)</f>
        <v/>
      </c>
      <c r="H3" s="6" t="str">
        <f aca="false">IF($F3="","",$F3*$G3)</f>
        <v/>
      </c>
      <c r="I3" s="8" t="str">
        <f aca="false">IF($C3="","",$C3*$T$2)</f>
        <v/>
      </c>
      <c r="J3" s="6" t="str">
        <f aca="false">IF($C3="","",$T$7)</f>
        <v/>
      </c>
      <c r="K3" s="6" t="str">
        <f aca="false">IF($I3="","",$I3*$J3)</f>
        <v/>
      </c>
      <c r="L3" s="9" t="str">
        <f aca="false">IF($M3="","",$T$8+($M3-1)*$T$9)</f>
        <v/>
      </c>
      <c r="M3" s="10"/>
      <c r="N3" s="6" t="str">
        <f aca="false">IF($C3="","",$C3*$T$3)</f>
        <v/>
      </c>
      <c r="O3" s="9" t="str">
        <f aca="false">IF($C3="","",$T$4)</f>
        <v/>
      </c>
      <c r="P3" s="9" t="str">
        <f aca="false">IF($C3="","",$T$5)</f>
        <v/>
      </c>
      <c r="Q3" s="11" t="str">
        <f aca="false">IF($H3="","",$H3-N($K3)-N($L3)-N($N3)-N($O3)-N($P3))</f>
        <v/>
      </c>
      <c r="S3" s="12" t="s">
        <v>21</v>
      </c>
      <c r="T3" s="14" t="n">
        <v>2</v>
      </c>
    </row>
    <row r="4" customFormat="false" ht="15" hidden="false" customHeight="false" outlineLevel="0" collapsed="false">
      <c r="A4" s="3"/>
      <c r="B4" s="3"/>
      <c r="C4" s="4"/>
      <c r="D4" s="5"/>
      <c r="E4" s="5"/>
      <c r="F4" s="6" t="str">
        <f aca="false">IF($D4="","",$D4*$E4)</f>
        <v/>
      </c>
      <c r="G4" s="7" t="str">
        <f aca="false">IF($C4="","",$T$6)</f>
        <v/>
      </c>
      <c r="H4" s="6" t="str">
        <f aca="false">IF($F4="","",$F4*$G4)</f>
        <v/>
      </c>
      <c r="I4" s="8" t="str">
        <f aca="false">IF($C4="","",$C4*$T$2)</f>
        <v/>
      </c>
      <c r="J4" s="6" t="str">
        <f aca="false">IF($C4="","",$T$7)</f>
        <v/>
      </c>
      <c r="K4" s="6" t="str">
        <f aca="false">IF($I4="","",$I4*$J4)</f>
        <v/>
      </c>
      <c r="L4" s="9" t="str">
        <f aca="false">IF($M4="","",$T$8+($M4-1)*$T$9)</f>
        <v/>
      </c>
      <c r="M4" s="10"/>
      <c r="N4" s="6" t="str">
        <f aca="false">IF($C4="","",$C4*$T$3)</f>
        <v/>
      </c>
      <c r="O4" s="9" t="str">
        <f aca="false">IF($C4="","",$T$4)</f>
        <v/>
      </c>
      <c r="P4" s="9" t="str">
        <f aca="false">IF($C4="","",$T$5)</f>
        <v/>
      </c>
      <c r="Q4" s="11" t="str">
        <f aca="false">IF($H4="","",$H4-N($K4)-N($L4)-N($N4)-N($O4)-N($P4))</f>
        <v/>
      </c>
      <c r="S4" s="12" t="s">
        <v>14</v>
      </c>
      <c r="T4" s="15" t="n">
        <v>700</v>
      </c>
    </row>
    <row r="5" customFormat="false" ht="15" hidden="false" customHeight="false" outlineLevel="0" collapsed="false">
      <c r="A5" s="3"/>
      <c r="B5" s="3"/>
      <c r="C5" s="4"/>
      <c r="D5" s="5"/>
      <c r="E5" s="5"/>
      <c r="F5" s="6" t="str">
        <f aca="false">IF($D5="","",$D5*$E5)</f>
        <v/>
      </c>
      <c r="G5" s="7" t="str">
        <f aca="false">IF($C5="","",$T$6)</f>
        <v/>
      </c>
      <c r="H5" s="6" t="str">
        <f aca="false">IF($F5="","",$F5*$G5)</f>
        <v/>
      </c>
      <c r="I5" s="8" t="str">
        <f aca="false">IF($C5="","",$C5*$T$2)</f>
        <v/>
      </c>
      <c r="J5" s="6" t="str">
        <f aca="false">IF($C5="","",$T$7)</f>
        <v/>
      </c>
      <c r="K5" s="6" t="str">
        <f aca="false">IF($I5="","",$I5*$J5)</f>
        <v/>
      </c>
      <c r="L5" s="9" t="str">
        <f aca="false">IF($M5="","",$T$8+($M5-1)*$T$9)</f>
        <v/>
      </c>
      <c r="M5" s="10"/>
      <c r="N5" s="6" t="str">
        <f aca="false">IF($C5="","",$C5*$T$3)</f>
        <v/>
      </c>
      <c r="O5" s="9" t="str">
        <f aca="false">IF($C5="","",$T$4)</f>
        <v/>
      </c>
      <c r="P5" s="9" t="str">
        <f aca="false">IF($C5="","",$T$5)</f>
        <v/>
      </c>
      <c r="Q5" s="11" t="str">
        <f aca="false">IF($H5="","",$H5-N($K5)-N($L5)-N($N5)-N($O5)-N($P5))</f>
        <v/>
      </c>
      <c r="S5" s="12" t="s">
        <v>15</v>
      </c>
      <c r="T5" s="15" t="n">
        <v>600</v>
      </c>
    </row>
    <row r="6" customFormat="false" ht="15" hidden="false" customHeight="false" outlineLevel="0" collapsed="false">
      <c r="A6" s="3"/>
      <c r="B6" s="3"/>
      <c r="C6" s="4"/>
      <c r="D6" s="5"/>
      <c r="E6" s="5"/>
      <c r="F6" s="6" t="str">
        <f aca="false">IF($D6="","",$D6*$E6)</f>
        <v/>
      </c>
      <c r="G6" s="7" t="str">
        <f aca="false">IF($C6="","",$T$6)</f>
        <v/>
      </c>
      <c r="H6" s="6" t="str">
        <f aca="false">IF($F6="","",$F6*$G6)</f>
        <v/>
      </c>
      <c r="I6" s="8" t="str">
        <f aca="false">IF($C6="","",$C6*$T$2)</f>
        <v/>
      </c>
      <c r="J6" s="6" t="str">
        <f aca="false">IF($C6="","",$T$7)</f>
        <v/>
      </c>
      <c r="K6" s="6" t="str">
        <f aca="false">IF($I6="","",$I6*$J6)</f>
        <v/>
      </c>
      <c r="L6" s="9" t="str">
        <f aca="false">IF($M6="","",$T$8+($M6-1)*$T$9)</f>
        <v/>
      </c>
      <c r="M6" s="10"/>
      <c r="N6" s="6" t="str">
        <f aca="false">IF($C6="","",$C6*$T$3)</f>
        <v/>
      </c>
      <c r="O6" s="9" t="str">
        <f aca="false">IF($C6="","",$T$4)</f>
        <v/>
      </c>
      <c r="P6" s="9" t="str">
        <f aca="false">IF($C6="","",$T$5)</f>
        <v/>
      </c>
      <c r="Q6" s="11" t="str">
        <f aca="false">IF($H6="","",$H6-N($K6)-N($L6)-N($N6)-N($O6)-N($P6))</f>
        <v/>
      </c>
      <c r="S6" s="12" t="s">
        <v>6</v>
      </c>
      <c r="T6" s="13" t="n">
        <v>19.9</v>
      </c>
    </row>
    <row r="7" customFormat="false" ht="15" hidden="false" customHeight="false" outlineLevel="0" collapsed="false">
      <c r="A7" s="3"/>
      <c r="B7" s="3"/>
      <c r="C7" s="4"/>
      <c r="D7" s="5"/>
      <c r="E7" s="5"/>
      <c r="F7" s="6" t="str">
        <f aca="false">IF($D7="","",$D7*$E7)</f>
        <v/>
      </c>
      <c r="G7" s="7" t="str">
        <f aca="false">IF($C7="","",$T$6)</f>
        <v/>
      </c>
      <c r="H7" s="6" t="str">
        <f aca="false">IF($F7="","",$F7*$G7)</f>
        <v/>
      </c>
      <c r="I7" s="8" t="str">
        <f aca="false">IF($C7="","",$C7*$T$2)</f>
        <v/>
      </c>
      <c r="J7" s="6" t="str">
        <f aca="false">IF($C7="","",$T$7)</f>
        <v/>
      </c>
      <c r="K7" s="6" t="str">
        <f aca="false">IF($I7="","",$I7*$J7)</f>
        <v/>
      </c>
      <c r="L7" s="9" t="str">
        <f aca="false">IF($M7="","",$T$8+($M7-1)*$T$9)</f>
        <v/>
      </c>
      <c r="M7" s="10"/>
      <c r="N7" s="6" t="str">
        <f aca="false">IF($C7="","",$C7*$T$3)</f>
        <v/>
      </c>
      <c r="O7" s="9" t="str">
        <f aca="false">IF($C7="","",$T$4)</f>
        <v/>
      </c>
      <c r="P7" s="9" t="str">
        <f aca="false">IF($C7="","",$T$5)</f>
        <v/>
      </c>
      <c r="Q7" s="11" t="str">
        <f aca="false">IF($H7="","",$H7-N($K7)-N($L7)-N($N7)-N($O7)-N($P7))</f>
        <v/>
      </c>
      <c r="S7" s="12" t="s">
        <v>9</v>
      </c>
      <c r="T7" s="14" t="n">
        <v>32</v>
      </c>
    </row>
    <row r="8" customFormat="false" ht="15" hidden="false" customHeight="false" outlineLevel="0" collapsed="false">
      <c r="A8" s="3"/>
      <c r="B8" s="3"/>
      <c r="C8" s="4"/>
      <c r="D8" s="5"/>
      <c r="E8" s="5"/>
      <c r="F8" s="6" t="str">
        <f aca="false">IF($D8="","",$D8*$E8)</f>
        <v/>
      </c>
      <c r="G8" s="7" t="str">
        <f aca="false">IF($C8="","",$T$6)</f>
        <v/>
      </c>
      <c r="H8" s="6" t="str">
        <f aca="false">IF($F8="","",$F8*$G8)</f>
        <v/>
      </c>
      <c r="I8" s="8" t="str">
        <f aca="false">IF($C8="","",$C8*$T$2)</f>
        <v/>
      </c>
      <c r="J8" s="6" t="str">
        <f aca="false">IF($C8="","",$T$7)</f>
        <v/>
      </c>
      <c r="K8" s="6" t="str">
        <f aca="false">IF($I8="","",$I8*$J8)</f>
        <v/>
      </c>
      <c r="L8" s="9" t="str">
        <f aca="false">IF($M8="","",$T$8+($M8-1)*$T$9)</f>
        <v/>
      </c>
      <c r="M8" s="10"/>
      <c r="N8" s="6" t="str">
        <f aca="false">IF($C8="","",$C8*$T$3)</f>
        <v/>
      </c>
      <c r="O8" s="9" t="str">
        <f aca="false">IF($C8="","",$T$4)</f>
        <v/>
      </c>
      <c r="P8" s="9" t="str">
        <f aca="false">IF($C8="","",$T$5)</f>
        <v/>
      </c>
      <c r="Q8" s="11" t="str">
        <f aca="false">IF($H8="","",$H8-N($K8)-N($L8)-N($N8)-N($O8)-N($P8))</f>
        <v/>
      </c>
      <c r="S8" s="12" t="s">
        <v>22</v>
      </c>
      <c r="T8" s="15" t="n">
        <v>2200</v>
      </c>
    </row>
    <row r="9" customFormat="false" ht="15" hidden="false" customHeight="false" outlineLevel="0" collapsed="false">
      <c r="A9" s="3"/>
      <c r="B9" s="3"/>
      <c r="C9" s="4"/>
      <c r="D9" s="5"/>
      <c r="E9" s="5"/>
      <c r="F9" s="6" t="str">
        <f aca="false">IF($D9="","",$D9*$E9)</f>
        <v/>
      </c>
      <c r="G9" s="7" t="str">
        <f aca="false">IF($C9="","",$T$6)</f>
        <v/>
      </c>
      <c r="H9" s="6" t="str">
        <f aca="false">IF($F9="","",$F9*$G9)</f>
        <v/>
      </c>
      <c r="I9" s="8" t="str">
        <f aca="false">IF($C9="","",$C9*$T$2)</f>
        <v/>
      </c>
      <c r="J9" s="6" t="str">
        <f aca="false">IF($C9="","",$T$7)</f>
        <v/>
      </c>
      <c r="K9" s="6" t="str">
        <f aca="false">IF($I9="","",$I9*$J9)</f>
        <v/>
      </c>
      <c r="L9" s="9" t="str">
        <f aca="false">IF($M9="","",$T$8+($M9-1)*$T$9)</f>
        <v/>
      </c>
      <c r="M9" s="10"/>
      <c r="N9" s="6" t="str">
        <f aca="false">IF($C9="","",$C9*$T$3)</f>
        <v/>
      </c>
      <c r="O9" s="9" t="str">
        <f aca="false">IF($C9="","",$T$4)</f>
        <v/>
      </c>
      <c r="P9" s="9" t="str">
        <f aca="false">IF($C9="","",$T$5)</f>
        <v/>
      </c>
      <c r="Q9" s="11" t="str">
        <f aca="false">IF($H9="","",$H9-N($K9)-N($L9)-N($N9)-N($O9)-N($P9))</f>
        <v/>
      </c>
      <c r="S9" s="12" t="s">
        <v>23</v>
      </c>
      <c r="T9" s="15" t="n">
        <v>1000</v>
      </c>
    </row>
    <row r="10" customFormat="false" ht="15" hidden="false" customHeight="false" outlineLevel="0" collapsed="false">
      <c r="A10" s="3"/>
      <c r="B10" s="3"/>
      <c r="C10" s="4"/>
      <c r="D10" s="5"/>
      <c r="E10" s="5"/>
      <c r="F10" s="6" t="str">
        <f aca="false">IF($D10="","",$D10*$E10)</f>
        <v/>
      </c>
      <c r="G10" s="7" t="str">
        <f aca="false">IF($C10="","",$T$6)</f>
        <v/>
      </c>
      <c r="H10" s="6" t="str">
        <f aca="false">IF($F10="","",$F10*$G10)</f>
        <v/>
      </c>
      <c r="I10" s="8" t="str">
        <f aca="false">IF($C10="","",$C10*$T$2)</f>
        <v/>
      </c>
      <c r="J10" s="6" t="str">
        <f aca="false">IF($C10="","",$T$7)</f>
        <v/>
      </c>
      <c r="K10" s="6" t="str">
        <f aca="false">IF($I10="","",$I10*$J10)</f>
        <v/>
      </c>
      <c r="L10" s="9" t="str">
        <f aca="false">IF($M10="","",$T$8+($M10-1)*$T$9)</f>
        <v/>
      </c>
      <c r="M10" s="10"/>
      <c r="N10" s="6" t="str">
        <f aca="false">IF($C10="","",$C10*$T$3)</f>
        <v/>
      </c>
      <c r="O10" s="9" t="str">
        <f aca="false">IF($C10="","",$T$4)</f>
        <v/>
      </c>
      <c r="P10" s="9" t="str">
        <f aca="false">IF($C10="","",$T$5)</f>
        <v/>
      </c>
      <c r="Q10" s="11" t="str">
        <f aca="false">IF($H10="","",$H10-N($K10)-N($L10)-N($N10)-N($O10)-N($P10))</f>
        <v/>
      </c>
    </row>
    <row r="11" customFormat="false" ht="15" hidden="false" customHeight="false" outlineLevel="0" collapsed="false">
      <c r="A11" s="3"/>
      <c r="B11" s="3"/>
      <c r="C11" s="4"/>
      <c r="D11" s="5"/>
      <c r="E11" s="5"/>
      <c r="F11" s="6" t="str">
        <f aca="false">IF($D11="","",$D11*$E11)</f>
        <v/>
      </c>
      <c r="G11" s="7" t="str">
        <f aca="false">IF($C11="","",$T$6)</f>
        <v/>
      </c>
      <c r="H11" s="6" t="str">
        <f aca="false">IF($F11="","",$F11*$G11)</f>
        <v/>
      </c>
      <c r="I11" s="8" t="str">
        <f aca="false">IF($C11="","",$C11*$T$2)</f>
        <v/>
      </c>
      <c r="J11" s="6" t="str">
        <f aca="false">IF($C11="","",$T$7)</f>
        <v/>
      </c>
      <c r="K11" s="6" t="str">
        <f aca="false">IF($I11="","",$I11*$J11)</f>
        <v/>
      </c>
      <c r="L11" s="9" t="str">
        <f aca="false">IF($M11="","",$T$8+($M11-1)*$T$9)</f>
        <v/>
      </c>
      <c r="M11" s="10"/>
      <c r="N11" s="6" t="str">
        <f aca="false">IF($C11="","",$C11*$T$3)</f>
        <v/>
      </c>
      <c r="O11" s="9" t="str">
        <f aca="false">IF($C11="","",$T$4)</f>
        <v/>
      </c>
      <c r="P11" s="9" t="str">
        <f aca="false">IF($C11="","",$T$5)</f>
        <v/>
      </c>
      <c r="Q11" s="11" t="str">
        <f aca="false">IF($H11="","",$H11-N($K11)-N($L11)-N($N11)-N($O11)-N($P11))</f>
        <v/>
      </c>
      <c r="S11" s="16" t="s">
        <v>24</v>
      </c>
    </row>
    <row r="12" customFormat="false" ht="15" hidden="false" customHeight="false" outlineLevel="0" collapsed="false">
      <c r="A12" s="3"/>
      <c r="B12" s="3"/>
      <c r="C12" s="4"/>
      <c r="D12" s="5"/>
      <c r="E12" s="5"/>
      <c r="F12" s="6" t="str">
        <f aca="false">IF($D12="","",$D12*$E12)</f>
        <v/>
      </c>
      <c r="G12" s="7" t="str">
        <f aca="false">IF($C12="","",$T$6)</f>
        <v/>
      </c>
      <c r="H12" s="6" t="str">
        <f aca="false">IF($F12="","",$F12*$G12)</f>
        <v/>
      </c>
      <c r="I12" s="8" t="str">
        <f aca="false">IF($C12="","",$C12*$T$2)</f>
        <v/>
      </c>
      <c r="J12" s="6" t="str">
        <f aca="false">IF($C12="","",$T$7)</f>
        <v/>
      </c>
      <c r="K12" s="6" t="str">
        <f aca="false">IF($I12="","",$I12*$J12)</f>
        <v/>
      </c>
      <c r="L12" s="9" t="str">
        <f aca="false">IF($M12="","",$T$8+($M12-1)*$T$9)</f>
        <v/>
      </c>
      <c r="M12" s="10"/>
      <c r="N12" s="6" t="str">
        <f aca="false">IF($C12="","",$C12*$T$3)</f>
        <v/>
      </c>
      <c r="O12" s="9" t="str">
        <f aca="false">IF($C12="","",$T$4)</f>
        <v/>
      </c>
      <c r="P12" s="9" t="str">
        <f aca="false">IF($C12="","",$T$5)</f>
        <v/>
      </c>
      <c r="Q12" s="11" t="str">
        <f aca="false">IF($H12="","",$H12-N($K12)-N($L12)-N($N12)-N($O12)-N($P12))</f>
        <v/>
      </c>
      <c r="S12" s="17" t="s">
        <v>25</v>
      </c>
    </row>
    <row r="13" customFormat="false" ht="15" hidden="false" customHeight="false" outlineLevel="0" collapsed="false">
      <c r="A13" s="3"/>
      <c r="B13" s="3"/>
      <c r="C13" s="4"/>
      <c r="D13" s="5"/>
      <c r="E13" s="5"/>
      <c r="F13" s="6" t="str">
        <f aca="false">IF($D13="","",$D13*$E13)</f>
        <v/>
      </c>
      <c r="G13" s="7" t="str">
        <f aca="false">IF($C13="","",$T$6)</f>
        <v/>
      </c>
      <c r="H13" s="6" t="str">
        <f aca="false">IF($F13="","",$F13*$G13)</f>
        <v/>
      </c>
      <c r="I13" s="8" t="str">
        <f aca="false">IF($C13="","",$C13*$T$2)</f>
        <v/>
      </c>
      <c r="J13" s="6" t="str">
        <f aca="false">IF($C13="","",$T$7)</f>
        <v/>
      </c>
      <c r="K13" s="6" t="str">
        <f aca="false">IF($I13="","",$I13*$J13)</f>
        <v/>
      </c>
      <c r="L13" s="9" t="str">
        <f aca="false">IF($M13="","",$T$8+($M13-1)*$T$9)</f>
        <v/>
      </c>
      <c r="M13" s="10"/>
      <c r="N13" s="6" t="str">
        <f aca="false">IF($C13="","",$C13*$T$3)</f>
        <v/>
      </c>
      <c r="O13" s="9" t="str">
        <f aca="false">IF($C13="","",$T$4)</f>
        <v/>
      </c>
      <c r="P13" s="9" t="str">
        <f aca="false">IF($C13="","",$T$5)</f>
        <v/>
      </c>
      <c r="Q13" s="11" t="str">
        <f aca="false">IF($H13="","",$H13-N($K13)-N($L13)-N($N13)-N($O13)-N($P13))</f>
        <v/>
      </c>
      <c r="S13" s="17" t="s">
        <v>26</v>
      </c>
    </row>
    <row r="14" customFormat="false" ht="15" hidden="false" customHeight="false" outlineLevel="0" collapsed="false">
      <c r="A14" s="3"/>
      <c r="B14" s="3"/>
      <c r="C14" s="4"/>
      <c r="D14" s="5"/>
      <c r="E14" s="5"/>
      <c r="F14" s="6" t="str">
        <f aca="false">IF($D14="","",$D14*$E14)</f>
        <v/>
      </c>
      <c r="G14" s="7" t="str">
        <f aca="false">IF($C14="","",$T$6)</f>
        <v/>
      </c>
      <c r="H14" s="6" t="str">
        <f aca="false">IF($F14="","",$F14*$G14)</f>
        <v/>
      </c>
      <c r="I14" s="8" t="str">
        <f aca="false">IF($C14="","",$C14*$T$2)</f>
        <v/>
      </c>
      <c r="J14" s="6" t="str">
        <f aca="false">IF($C14="","",$T$7)</f>
        <v/>
      </c>
      <c r="K14" s="6" t="str">
        <f aca="false">IF($I14="","",$I14*$J14)</f>
        <v/>
      </c>
      <c r="L14" s="9" t="str">
        <f aca="false">IF($M14="","",$T$8+($M14-1)*$T$9)</f>
        <v/>
      </c>
      <c r="M14" s="10"/>
      <c r="N14" s="6" t="str">
        <f aca="false">IF($C14="","",$C14*$T$3)</f>
        <v/>
      </c>
      <c r="O14" s="9" t="str">
        <f aca="false">IF($C14="","",$T$4)</f>
        <v/>
      </c>
      <c r="P14" s="9" t="str">
        <f aca="false">IF($C14="","",$T$5)</f>
        <v/>
      </c>
      <c r="Q14" s="11" t="str">
        <f aca="false">IF($H14="","",$H14-N($K14)-N($L14)-N($N14)-N($O14)-N($P14))</f>
        <v/>
      </c>
      <c r="S14" s="17" t="s">
        <v>27</v>
      </c>
    </row>
    <row r="15" customFormat="false" ht="15" hidden="false" customHeight="false" outlineLevel="0" collapsed="false">
      <c r="A15" s="3"/>
      <c r="B15" s="3"/>
      <c r="C15" s="4"/>
      <c r="D15" s="5"/>
      <c r="E15" s="5"/>
      <c r="F15" s="6" t="str">
        <f aca="false">IF($D15="","",$D15*$E15)</f>
        <v/>
      </c>
      <c r="G15" s="7" t="str">
        <f aca="false">IF($C15="","",$T$6)</f>
        <v/>
      </c>
      <c r="H15" s="6" t="str">
        <f aca="false">IF($F15="","",$F15*$G15)</f>
        <v/>
      </c>
      <c r="I15" s="8" t="str">
        <f aca="false">IF($C15="","",$C15*$T$2)</f>
        <v/>
      </c>
      <c r="J15" s="6" t="str">
        <f aca="false">IF($C15="","",$T$7)</f>
        <v/>
      </c>
      <c r="K15" s="6" t="str">
        <f aca="false">IF($I15="","",$I15*$J15)</f>
        <v/>
      </c>
      <c r="L15" s="9" t="str">
        <f aca="false">IF($M15="","",$T$8+($M15-1)*$T$9)</f>
        <v/>
      </c>
      <c r="M15" s="10"/>
      <c r="N15" s="6" t="str">
        <f aca="false">IF($C15="","",$C15*$T$3)</f>
        <v/>
      </c>
      <c r="O15" s="9" t="str">
        <f aca="false">IF($C15="","",$T$4)</f>
        <v/>
      </c>
      <c r="P15" s="9" t="str">
        <f aca="false">IF($C15="","",$T$5)</f>
        <v/>
      </c>
      <c r="Q15" s="11" t="str">
        <f aca="false">IF($H15="","",$H15-N($K15)-N($L15)-N($N15)-N($O15)-N($P15))</f>
        <v/>
      </c>
      <c r="S15" s="17" t="s">
        <v>28</v>
      </c>
    </row>
    <row r="16" customFormat="false" ht="15" hidden="false" customHeight="false" outlineLevel="0" collapsed="false">
      <c r="A16" s="3"/>
      <c r="B16" s="3"/>
      <c r="C16" s="4"/>
      <c r="D16" s="5"/>
      <c r="E16" s="5"/>
      <c r="F16" s="6" t="str">
        <f aca="false">IF($D16="","",$D16*$E16)</f>
        <v/>
      </c>
      <c r="G16" s="7" t="str">
        <f aca="false">IF($C16="","",$T$6)</f>
        <v/>
      </c>
      <c r="H16" s="6" t="str">
        <f aca="false">IF($F16="","",$F16*$G16)</f>
        <v/>
      </c>
      <c r="I16" s="8" t="str">
        <f aca="false">IF($C16="","",$C16*$T$2)</f>
        <v/>
      </c>
      <c r="J16" s="6" t="str">
        <f aca="false">IF($C16="","",$T$7)</f>
        <v/>
      </c>
      <c r="K16" s="6" t="str">
        <f aca="false">IF($I16="","",$I16*$J16)</f>
        <v/>
      </c>
      <c r="L16" s="9" t="str">
        <f aca="false">IF($M16="","",$T$8+($M16-1)*$T$9)</f>
        <v/>
      </c>
      <c r="M16" s="10"/>
      <c r="N16" s="6" t="str">
        <f aca="false">IF($C16="","",$C16*$T$3)</f>
        <v/>
      </c>
      <c r="O16" s="9" t="str">
        <f aca="false">IF($C16="","",$T$4)</f>
        <v/>
      </c>
      <c r="P16" s="9" t="str">
        <f aca="false">IF($C16="","",$T$5)</f>
        <v/>
      </c>
      <c r="Q16" s="11" t="str">
        <f aca="false">IF($H16="","",$H16-N($K16)-N($L16)-N($N16)-N($O16)-N($P16))</f>
        <v/>
      </c>
      <c r="S16" s="17" t="s">
        <v>29</v>
      </c>
    </row>
    <row r="17" customFormat="false" ht="15" hidden="false" customHeight="false" outlineLevel="0" collapsed="false">
      <c r="A17" s="3"/>
      <c r="B17" s="3"/>
      <c r="C17" s="4"/>
      <c r="D17" s="5"/>
      <c r="E17" s="5"/>
      <c r="F17" s="6" t="str">
        <f aca="false">IF($D17="","",$D17*$E17)</f>
        <v/>
      </c>
      <c r="G17" s="7" t="str">
        <f aca="false">IF($C17="","",$T$6)</f>
        <v/>
      </c>
      <c r="H17" s="6" t="str">
        <f aca="false">IF($F17="","",$F17*$G17)</f>
        <v/>
      </c>
      <c r="I17" s="8" t="str">
        <f aca="false">IF($C17="","",$C17*$T$2)</f>
        <v/>
      </c>
      <c r="J17" s="6" t="str">
        <f aca="false">IF($C17="","",$T$7)</f>
        <v/>
      </c>
      <c r="K17" s="6" t="str">
        <f aca="false">IF($I17="","",$I17*$J17)</f>
        <v/>
      </c>
      <c r="L17" s="9" t="str">
        <f aca="false">IF($M17="","",$T$8+($M17-1)*$T$9)</f>
        <v/>
      </c>
      <c r="M17" s="10"/>
      <c r="N17" s="6" t="str">
        <f aca="false">IF($C17="","",$C17*$T$3)</f>
        <v/>
      </c>
      <c r="O17" s="9" t="str">
        <f aca="false">IF($C17="","",$T$4)</f>
        <v/>
      </c>
      <c r="P17" s="9" t="str">
        <f aca="false">IF($C17="","",$T$5)</f>
        <v/>
      </c>
      <c r="Q17" s="11" t="str">
        <f aca="false">IF($H17="","",$H17-N($K17)-N($L17)-N($N17)-N($O17)-N($P17))</f>
        <v/>
      </c>
      <c r="S17" s="17" t="s">
        <v>30</v>
      </c>
    </row>
    <row r="18" customFormat="false" ht="15" hidden="false" customHeight="false" outlineLevel="0" collapsed="false">
      <c r="A18" s="3"/>
      <c r="B18" s="3"/>
      <c r="C18" s="4"/>
      <c r="D18" s="5"/>
      <c r="E18" s="5"/>
      <c r="F18" s="6" t="str">
        <f aca="false">IF($D18="","",$D18*$E18)</f>
        <v/>
      </c>
      <c r="G18" s="7" t="str">
        <f aca="false">IF($C18="","",$T$6)</f>
        <v/>
      </c>
      <c r="H18" s="6" t="str">
        <f aca="false">IF($F18="","",$F18*$G18)</f>
        <v/>
      </c>
      <c r="I18" s="8" t="str">
        <f aca="false">IF($C18="","",$C18*$T$2)</f>
        <v/>
      </c>
      <c r="J18" s="6" t="str">
        <f aca="false">IF($C18="","",$T$7)</f>
        <v/>
      </c>
      <c r="K18" s="6" t="str">
        <f aca="false">IF($I18="","",$I18*$J18)</f>
        <v/>
      </c>
      <c r="L18" s="9" t="str">
        <f aca="false">IF($M18="","",$T$8+($M18-1)*$T$9)</f>
        <v/>
      </c>
      <c r="M18" s="10"/>
      <c r="N18" s="6" t="str">
        <f aca="false">IF($C18="","",$C18*$T$3)</f>
        <v/>
      </c>
      <c r="O18" s="9" t="str">
        <f aca="false">IF($C18="","",$T$4)</f>
        <v/>
      </c>
      <c r="P18" s="9" t="str">
        <f aca="false">IF($C18="","",$T$5)</f>
        <v/>
      </c>
      <c r="Q18" s="11" t="str">
        <f aca="false">IF($H18="","",$H18-N($K18)-N($L18)-N($N18)-N($O18)-N($P18))</f>
        <v/>
      </c>
      <c r="S18" s="17" t="s">
        <v>31</v>
      </c>
    </row>
    <row r="19" customFormat="false" ht="15" hidden="false" customHeight="false" outlineLevel="0" collapsed="false">
      <c r="A19" s="3"/>
      <c r="B19" s="3"/>
      <c r="C19" s="4"/>
      <c r="D19" s="5"/>
      <c r="E19" s="5"/>
      <c r="F19" s="6" t="str">
        <f aca="false">IF($D19="","",$D19*$E19)</f>
        <v/>
      </c>
      <c r="G19" s="7" t="str">
        <f aca="false">IF($C19="","",$T$6)</f>
        <v/>
      </c>
      <c r="H19" s="6" t="str">
        <f aca="false">IF($F19="","",$F19*$G19)</f>
        <v/>
      </c>
      <c r="I19" s="8" t="str">
        <f aca="false">IF($C19="","",$C19*$T$2)</f>
        <v/>
      </c>
      <c r="J19" s="6" t="str">
        <f aca="false">IF($C19="","",$T$7)</f>
        <v/>
      </c>
      <c r="K19" s="6" t="str">
        <f aca="false">IF($I19="","",$I19*$J19)</f>
        <v/>
      </c>
      <c r="L19" s="9" t="str">
        <f aca="false">IF($M19="","",$T$8+($M19-1)*$T$9)</f>
        <v/>
      </c>
      <c r="M19" s="10"/>
      <c r="N19" s="6" t="str">
        <f aca="false">IF($C19="","",$C19*$T$3)</f>
        <v/>
      </c>
      <c r="O19" s="9" t="str">
        <f aca="false">IF($C19="","",$T$4)</f>
        <v/>
      </c>
      <c r="P19" s="9" t="str">
        <f aca="false">IF($C19="","",$T$5)</f>
        <v/>
      </c>
      <c r="Q19" s="11" t="str">
        <f aca="false">IF($H19="","",$H19-N($K19)-N($L19)-N($N19)-N($O19)-N($P19))</f>
        <v/>
      </c>
    </row>
    <row r="20" customFormat="false" ht="15" hidden="false" customHeight="false" outlineLevel="0" collapsed="false">
      <c r="A20" s="3"/>
      <c r="B20" s="3"/>
      <c r="C20" s="4"/>
      <c r="D20" s="5"/>
      <c r="E20" s="5"/>
      <c r="F20" s="6" t="str">
        <f aca="false">IF($D20="","",$D20*$E20)</f>
        <v/>
      </c>
      <c r="G20" s="7" t="str">
        <f aca="false">IF($C20="","",$T$6)</f>
        <v/>
      </c>
      <c r="H20" s="6" t="str">
        <f aca="false">IF($F20="","",$F20*$G20)</f>
        <v/>
      </c>
      <c r="I20" s="8" t="str">
        <f aca="false">IF($C20="","",$C20*$T$2)</f>
        <v/>
      </c>
      <c r="J20" s="6" t="str">
        <f aca="false">IF($C20="","",$T$7)</f>
        <v/>
      </c>
      <c r="K20" s="6" t="str">
        <f aca="false">IF($I20="","",$I20*$J20)</f>
        <v/>
      </c>
      <c r="L20" s="9" t="str">
        <f aca="false">IF($M20="","",$T$8+($M20-1)*$T$9)</f>
        <v/>
      </c>
      <c r="M20" s="10"/>
      <c r="N20" s="6" t="str">
        <f aca="false">IF($C20="","",$C20*$T$3)</f>
        <v/>
      </c>
      <c r="O20" s="9" t="str">
        <f aca="false">IF($C20="","",$T$4)</f>
        <v/>
      </c>
      <c r="P20" s="9" t="str">
        <f aca="false">IF($C20="","",$T$5)</f>
        <v/>
      </c>
      <c r="Q20" s="11" t="str">
        <f aca="false">IF($H20="","",$H20-N($K20)-N($L20)-N($N20)-N($O20)-N($P20))</f>
        <v/>
      </c>
    </row>
    <row r="21" customFormat="false" ht="15" hidden="false" customHeight="false" outlineLevel="0" collapsed="false">
      <c r="A21" s="3"/>
      <c r="B21" s="3"/>
      <c r="C21" s="4"/>
      <c r="D21" s="5"/>
      <c r="E21" s="5"/>
      <c r="F21" s="6" t="str">
        <f aca="false">IF($D21="","",$D21*$E21)</f>
        <v/>
      </c>
      <c r="G21" s="7" t="str">
        <f aca="false">IF($C21="","",$T$6)</f>
        <v/>
      </c>
      <c r="H21" s="6" t="str">
        <f aca="false">IF($F21="","",$F21*$G21)</f>
        <v/>
      </c>
      <c r="I21" s="8" t="str">
        <f aca="false">IF($C21="","",$C21*$T$2)</f>
        <v/>
      </c>
      <c r="J21" s="6" t="str">
        <f aca="false">IF($C21="","",$T$7)</f>
        <v/>
      </c>
      <c r="K21" s="6" t="str">
        <f aca="false">IF($I21="","",$I21*$J21)</f>
        <v/>
      </c>
      <c r="L21" s="9" t="str">
        <f aca="false">IF($M21="","",$T$8+($M21-1)*$T$9)</f>
        <v/>
      </c>
      <c r="M21" s="10"/>
      <c r="N21" s="6" t="str">
        <f aca="false">IF($C21="","",$C21*$T$3)</f>
        <v/>
      </c>
      <c r="O21" s="9" t="str">
        <f aca="false">IF($C21="","",$T$4)</f>
        <v/>
      </c>
      <c r="P21" s="9" t="str">
        <f aca="false">IF($C21="","",$T$5)</f>
        <v/>
      </c>
      <c r="Q21" s="11" t="str">
        <f aca="false">IF($H21="","",$H21-N($K21)-N($L21)-N($N21)-N($O21)-N($P21))</f>
        <v/>
      </c>
    </row>
    <row r="22" customFormat="false" ht="15" hidden="false" customHeight="false" outlineLevel="0" collapsed="false">
      <c r="A22" s="3"/>
      <c r="B22" s="3"/>
      <c r="C22" s="4"/>
      <c r="D22" s="5"/>
      <c r="E22" s="5"/>
      <c r="F22" s="6" t="str">
        <f aca="false">IF($D22="","",$D22*$E22)</f>
        <v/>
      </c>
      <c r="G22" s="7" t="str">
        <f aca="false">IF($C22="","",$T$6)</f>
        <v/>
      </c>
      <c r="H22" s="6" t="str">
        <f aca="false">IF($F22="","",$F22*$G22)</f>
        <v/>
      </c>
      <c r="I22" s="8" t="str">
        <f aca="false">IF($C22="","",$C22*$T$2)</f>
        <v/>
      </c>
      <c r="J22" s="6" t="str">
        <f aca="false">IF($C22="","",$T$7)</f>
        <v/>
      </c>
      <c r="K22" s="6" t="str">
        <f aca="false">IF($I22="","",$I22*$J22)</f>
        <v/>
      </c>
      <c r="L22" s="9" t="str">
        <f aca="false">IF($M22="","",$T$8+($M22-1)*$T$9)</f>
        <v/>
      </c>
      <c r="M22" s="10"/>
      <c r="N22" s="6" t="str">
        <f aca="false">IF($C22="","",$C22*$T$3)</f>
        <v/>
      </c>
      <c r="O22" s="9" t="str">
        <f aca="false">IF($C22="","",$T$4)</f>
        <v/>
      </c>
      <c r="P22" s="9" t="str">
        <f aca="false">IF($C22="","",$T$5)</f>
        <v/>
      </c>
      <c r="Q22" s="11" t="str">
        <f aca="false">IF($H22="","",$H22-N($K22)-N($L22)-N($N22)-N($O22)-N($P22))</f>
        <v/>
      </c>
    </row>
    <row r="23" customFormat="false" ht="15" hidden="false" customHeight="false" outlineLevel="0" collapsed="false">
      <c r="A23" s="3"/>
      <c r="B23" s="3"/>
      <c r="C23" s="4"/>
      <c r="D23" s="5"/>
      <c r="E23" s="5"/>
      <c r="F23" s="6" t="str">
        <f aca="false">IF($D23="","",$D23*$E23)</f>
        <v/>
      </c>
      <c r="G23" s="7" t="str">
        <f aca="false">IF($C23="","",$T$6)</f>
        <v/>
      </c>
      <c r="H23" s="6" t="str">
        <f aca="false">IF($F23="","",$F23*$G23)</f>
        <v/>
      </c>
      <c r="I23" s="8" t="str">
        <f aca="false">IF($C23="","",$C23*$T$2)</f>
        <v/>
      </c>
      <c r="J23" s="6" t="str">
        <f aca="false">IF($C23="","",$T$7)</f>
        <v/>
      </c>
      <c r="K23" s="6" t="str">
        <f aca="false">IF($I23="","",$I23*$J23)</f>
        <v/>
      </c>
      <c r="L23" s="9" t="str">
        <f aca="false">IF($M23="","",$T$8+($M23-1)*$T$9)</f>
        <v/>
      </c>
      <c r="M23" s="10"/>
      <c r="N23" s="6" t="str">
        <f aca="false">IF($C23="","",$C23*$T$3)</f>
        <v/>
      </c>
      <c r="O23" s="9" t="str">
        <f aca="false">IF($C23="","",$T$4)</f>
        <v/>
      </c>
      <c r="P23" s="9" t="str">
        <f aca="false">IF($C23="","",$T$5)</f>
        <v/>
      </c>
      <c r="Q23" s="11" t="str">
        <f aca="false">IF($H23="","",$H23-N($K23)-N($L23)-N($N23)-N($O23)-N($P23))</f>
        <v/>
      </c>
    </row>
    <row r="24" customFormat="false" ht="15" hidden="false" customHeight="false" outlineLevel="0" collapsed="false">
      <c r="A24" s="3"/>
      <c r="B24" s="3"/>
      <c r="C24" s="4"/>
      <c r="D24" s="5"/>
      <c r="E24" s="5"/>
      <c r="F24" s="6" t="str">
        <f aca="false">IF($D24="","",$D24*$E24)</f>
        <v/>
      </c>
      <c r="G24" s="7" t="str">
        <f aca="false">IF($C24="","",$T$6)</f>
        <v/>
      </c>
      <c r="H24" s="6" t="str">
        <f aca="false">IF($F24="","",$F24*$G24)</f>
        <v/>
      </c>
      <c r="I24" s="8" t="str">
        <f aca="false">IF($C24="","",$C24*$T$2)</f>
        <v/>
      </c>
      <c r="J24" s="6" t="str">
        <f aca="false">IF($C24="","",$T$7)</f>
        <v/>
      </c>
      <c r="K24" s="6" t="str">
        <f aca="false">IF($I24="","",$I24*$J24)</f>
        <v/>
      </c>
      <c r="L24" s="9" t="str">
        <f aca="false">IF($M24="","",$T$8+($M24-1)*$T$9)</f>
        <v/>
      </c>
      <c r="M24" s="10"/>
      <c r="N24" s="6" t="str">
        <f aca="false">IF($C24="","",$C24*$T$3)</f>
        <v/>
      </c>
      <c r="O24" s="9" t="str">
        <f aca="false">IF($C24="","",$T$4)</f>
        <v/>
      </c>
      <c r="P24" s="9" t="str">
        <f aca="false">IF($C24="","",$T$5)</f>
        <v/>
      </c>
      <c r="Q24" s="11" t="str">
        <f aca="false">IF($H24="","",$H24-N($K24)-N($L24)-N($N24)-N($O24)-N($P24))</f>
        <v/>
      </c>
    </row>
    <row r="25" customFormat="false" ht="15" hidden="false" customHeight="false" outlineLevel="0" collapsed="false">
      <c r="A25" s="3"/>
      <c r="B25" s="3"/>
      <c r="C25" s="4"/>
      <c r="D25" s="5"/>
      <c r="E25" s="5"/>
      <c r="F25" s="6" t="str">
        <f aca="false">IF($D25="","",$D25*$E25)</f>
        <v/>
      </c>
      <c r="G25" s="7" t="str">
        <f aca="false">IF($C25="","",$T$6)</f>
        <v/>
      </c>
      <c r="H25" s="6" t="str">
        <f aca="false">IF($F25="","",$F25*$G25)</f>
        <v/>
      </c>
      <c r="I25" s="8" t="str">
        <f aca="false">IF($C25="","",$C25*$T$2)</f>
        <v/>
      </c>
      <c r="J25" s="6" t="str">
        <f aca="false">IF($C25="","",$T$7)</f>
        <v/>
      </c>
      <c r="K25" s="6" t="str">
        <f aca="false">IF($I25="","",$I25*$J25)</f>
        <v/>
      </c>
      <c r="L25" s="9" t="str">
        <f aca="false">IF($M25="","",$T$8+($M25-1)*$T$9)</f>
        <v/>
      </c>
      <c r="M25" s="10"/>
      <c r="N25" s="6" t="str">
        <f aca="false">IF($C25="","",$C25*$T$3)</f>
        <v/>
      </c>
      <c r="O25" s="9" t="str">
        <f aca="false">IF($C25="","",$T$4)</f>
        <v/>
      </c>
      <c r="P25" s="9" t="str">
        <f aca="false">IF($C25="","",$T$5)</f>
        <v/>
      </c>
      <c r="Q25" s="11" t="str">
        <f aca="false">IF($H25="","",$H25-N($K25)-N($L25)-N($N25)-N($O25)-N($P25))</f>
        <v/>
      </c>
    </row>
    <row r="26" customFormat="false" ht="15" hidden="false" customHeight="false" outlineLevel="0" collapsed="false">
      <c r="A26" s="3"/>
      <c r="B26" s="3"/>
      <c r="C26" s="4"/>
      <c r="D26" s="5"/>
      <c r="E26" s="5"/>
      <c r="F26" s="6" t="str">
        <f aca="false">IF($D26="","",$D26*$E26)</f>
        <v/>
      </c>
      <c r="G26" s="7" t="str">
        <f aca="false">IF($C26="","",$T$6)</f>
        <v/>
      </c>
      <c r="H26" s="6" t="str">
        <f aca="false">IF($F26="","",$F26*$G26)</f>
        <v/>
      </c>
      <c r="I26" s="8" t="str">
        <f aca="false">IF($C26="","",$C26*$T$2)</f>
        <v/>
      </c>
      <c r="J26" s="6" t="str">
        <f aca="false">IF($C26="","",$T$7)</f>
        <v/>
      </c>
      <c r="K26" s="6" t="str">
        <f aca="false">IF($I26="","",$I26*$J26)</f>
        <v/>
      </c>
      <c r="L26" s="9" t="str">
        <f aca="false">IF($M26="","",$T$8+($M26-1)*$T$9)</f>
        <v/>
      </c>
      <c r="M26" s="10"/>
      <c r="N26" s="6" t="str">
        <f aca="false">IF($C26="","",$C26*$T$3)</f>
        <v/>
      </c>
      <c r="O26" s="9" t="str">
        <f aca="false">IF($C26="","",$T$4)</f>
        <v/>
      </c>
      <c r="P26" s="9" t="str">
        <f aca="false">IF($C26="","",$T$5)</f>
        <v/>
      </c>
      <c r="Q26" s="11" t="str">
        <f aca="false">IF($H26="","",$H26-N($K26)-N($L26)-N($N26)-N($O26)-N($P26))</f>
        <v/>
      </c>
    </row>
    <row r="27" customFormat="false" ht="15" hidden="false" customHeight="false" outlineLevel="0" collapsed="false">
      <c r="A27" s="3"/>
      <c r="B27" s="3"/>
      <c r="C27" s="4"/>
      <c r="D27" s="5"/>
      <c r="E27" s="5"/>
      <c r="F27" s="6" t="str">
        <f aca="false">IF($D27="","",$D27*$E27)</f>
        <v/>
      </c>
      <c r="G27" s="7" t="str">
        <f aca="false">IF($C27="","",$T$6)</f>
        <v/>
      </c>
      <c r="H27" s="6" t="str">
        <f aca="false">IF($F27="","",$F27*$G27)</f>
        <v/>
      </c>
      <c r="I27" s="8" t="str">
        <f aca="false">IF($C27="","",$C27*$T$2)</f>
        <v/>
      </c>
      <c r="J27" s="6" t="str">
        <f aca="false">IF($C27="","",$T$7)</f>
        <v/>
      </c>
      <c r="K27" s="6" t="str">
        <f aca="false">IF($I27="","",$I27*$J27)</f>
        <v/>
      </c>
      <c r="L27" s="9" t="str">
        <f aca="false">IF($M27="","",$T$8+($M27-1)*$T$9)</f>
        <v/>
      </c>
      <c r="M27" s="10"/>
      <c r="N27" s="6" t="str">
        <f aca="false">IF($C27="","",$C27*$T$3)</f>
        <v/>
      </c>
      <c r="O27" s="9" t="str">
        <f aca="false">IF($C27="","",$T$4)</f>
        <v/>
      </c>
      <c r="P27" s="9" t="str">
        <f aca="false">IF($C27="","",$T$5)</f>
        <v/>
      </c>
      <c r="Q27" s="11" t="str">
        <f aca="false">IF($H27="","",$H27-N($K27)-N($L27)-N($N27)-N($O27)-N($P27))</f>
        <v/>
      </c>
    </row>
    <row r="28" customFormat="false" ht="15" hidden="false" customHeight="false" outlineLevel="0" collapsed="false">
      <c r="A28" s="3"/>
      <c r="B28" s="3"/>
      <c r="C28" s="4"/>
      <c r="D28" s="5"/>
      <c r="E28" s="5"/>
      <c r="F28" s="6" t="str">
        <f aca="false">IF($D28="","",$D28*$E28)</f>
        <v/>
      </c>
      <c r="G28" s="7" t="str">
        <f aca="false">IF($C28="","",$T$6)</f>
        <v/>
      </c>
      <c r="H28" s="6" t="str">
        <f aca="false">IF($F28="","",$F28*$G28)</f>
        <v/>
      </c>
      <c r="I28" s="8" t="str">
        <f aca="false">IF($C28="","",$C28*$T$2)</f>
        <v/>
      </c>
      <c r="J28" s="6" t="str">
        <f aca="false">IF($C28="","",$T$7)</f>
        <v/>
      </c>
      <c r="K28" s="6" t="str">
        <f aca="false">IF($I28="","",$I28*$J28)</f>
        <v/>
      </c>
      <c r="L28" s="9" t="str">
        <f aca="false">IF($M28="","",$T$8+($M28-1)*$T$9)</f>
        <v/>
      </c>
      <c r="M28" s="10"/>
      <c r="N28" s="6" t="str">
        <f aca="false">IF($C28="","",$C28*$T$3)</f>
        <v/>
      </c>
      <c r="O28" s="9" t="str">
        <f aca="false">IF($C28="","",$T$4)</f>
        <v/>
      </c>
      <c r="P28" s="9" t="str">
        <f aca="false">IF($C28="","",$T$5)</f>
        <v/>
      </c>
      <c r="Q28" s="11" t="str">
        <f aca="false">IF($H28="","",$H28-N($K28)-N($L28)-N($N28)-N($O28)-N($P28))</f>
        <v/>
      </c>
    </row>
    <row r="29" customFormat="false" ht="15" hidden="false" customHeight="false" outlineLevel="0" collapsed="false">
      <c r="A29" s="3"/>
      <c r="B29" s="3"/>
      <c r="C29" s="4"/>
      <c r="D29" s="5"/>
      <c r="E29" s="5"/>
      <c r="F29" s="6" t="str">
        <f aca="false">IF($D29="","",$D29*$E29)</f>
        <v/>
      </c>
      <c r="G29" s="7" t="str">
        <f aca="false">IF($C29="","",$T$6)</f>
        <v/>
      </c>
      <c r="H29" s="6" t="str">
        <f aca="false">IF($F29="","",$F29*$G29)</f>
        <v/>
      </c>
      <c r="I29" s="8" t="str">
        <f aca="false">IF($C29="","",$C29*$T$2)</f>
        <v/>
      </c>
      <c r="J29" s="6" t="str">
        <f aca="false">IF($C29="","",$T$7)</f>
        <v/>
      </c>
      <c r="K29" s="6" t="str">
        <f aca="false">IF($I29="","",$I29*$J29)</f>
        <v/>
      </c>
      <c r="L29" s="9" t="str">
        <f aca="false">IF($M29="","",$T$8+($M29-1)*$T$9)</f>
        <v/>
      </c>
      <c r="M29" s="10"/>
      <c r="N29" s="6" t="str">
        <f aca="false">IF($C29="","",$C29*$T$3)</f>
        <v/>
      </c>
      <c r="O29" s="9" t="str">
        <f aca="false">IF($C29="","",$T$4)</f>
        <v/>
      </c>
      <c r="P29" s="9" t="str">
        <f aca="false">IF($C29="","",$T$5)</f>
        <v/>
      </c>
      <c r="Q29" s="11" t="str">
        <f aca="false">IF($H29="","",$H29-N($K29)-N($L29)-N($N29)-N($O29)-N($P29))</f>
        <v/>
      </c>
    </row>
    <row r="30" customFormat="false" ht="15" hidden="false" customHeight="false" outlineLevel="0" collapsed="false">
      <c r="A30" s="3"/>
      <c r="B30" s="3"/>
      <c r="C30" s="4"/>
      <c r="D30" s="5"/>
      <c r="E30" s="5"/>
      <c r="F30" s="6" t="str">
        <f aca="false">IF($D30="","",$D30*$E30)</f>
        <v/>
      </c>
      <c r="G30" s="7" t="str">
        <f aca="false">IF($C30="","",$T$6)</f>
        <v/>
      </c>
      <c r="H30" s="6" t="str">
        <f aca="false">IF($F30="","",$F30*$G30)</f>
        <v/>
      </c>
      <c r="I30" s="8" t="str">
        <f aca="false">IF($C30="","",$C30*$T$2)</f>
        <v/>
      </c>
      <c r="J30" s="6" t="str">
        <f aca="false">IF($C30="","",$T$7)</f>
        <v/>
      </c>
      <c r="K30" s="6" t="str">
        <f aca="false">IF($I30="","",$I30*$J30)</f>
        <v/>
      </c>
      <c r="L30" s="9" t="str">
        <f aca="false">IF($M30="","",$T$8+($M30-1)*$T$9)</f>
        <v/>
      </c>
      <c r="M30" s="10"/>
      <c r="N30" s="6" t="str">
        <f aca="false">IF($C30="","",$C30*$T$3)</f>
        <v/>
      </c>
      <c r="O30" s="9" t="str">
        <f aca="false">IF($C30="","",$T$4)</f>
        <v/>
      </c>
      <c r="P30" s="9" t="str">
        <f aca="false">IF($C30="","",$T$5)</f>
        <v/>
      </c>
      <c r="Q30" s="11" t="str">
        <f aca="false">IF($H30="","",$H30-N($K30)-N($L30)-N($N30)-N($O30)-N($P30))</f>
        <v/>
      </c>
    </row>
    <row r="31" customFormat="false" ht="15" hidden="false" customHeight="false" outlineLevel="0" collapsed="false">
      <c r="A31" s="3"/>
      <c r="B31" s="3"/>
      <c r="C31" s="4"/>
      <c r="D31" s="5"/>
      <c r="E31" s="5"/>
      <c r="F31" s="6" t="str">
        <f aca="false">IF($D31="","",$D31*$E31)</f>
        <v/>
      </c>
      <c r="G31" s="7" t="str">
        <f aca="false">IF($C31="","",$T$6)</f>
        <v/>
      </c>
      <c r="H31" s="6" t="str">
        <f aca="false">IF($F31="","",$F31*$G31)</f>
        <v/>
      </c>
      <c r="I31" s="8" t="str">
        <f aca="false">IF($C31="","",$C31*$T$2)</f>
        <v/>
      </c>
      <c r="J31" s="6" t="str">
        <f aca="false">IF($C31="","",$T$7)</f>
        <v/>
      </c>
      <c r="K31" s="6" t="str">
        <f aca="false">IF($I31="","",$I31*$J31)</f>
        <v/>
      </c>
      <c r="L31" s="9" t="str">
        <f aca="false">IF($M31="","",$T$8+($M31-1)*$T$9)</f>
        <v/>
      </c>
      <c r="M31" s="10"/>
      <c r="N31" s="6" t="str">
        <f aca="false">IF($C31="","",$C31*$T$3)</f>
        <v/>
      </c>
      <c r="O31" s="9" t="str">
        <f aca="false">IF($C31="","",$T$4)</f>
        <v/>
      </c>
      <c r="P31" s="9" t="str">
        <f aca="false">IF($C31="","",$T$5)</f>
        <v/>
      </c>
      <c r="Q31" s="11" t="str">
        <f aca="false">IF($H31="","",$H31-N($K31)-N($L31)-N($N31)-N($O31)-N($P31))</f>
        <v/>
      </c>
    </row>
    <row r="32" customFormat="false" ht="15" hidden="false" customHeight="false" outlineLevel="0" collapsed="false">
      <c r="A32" s="3"/>
      <c r="B32" s="3"/>
      <c r="C32" s="4"/>
      <c r="D32" s="5"/>
      <c r="E32" s="5"/>
      <c r="F32" s="6" t="str">
        <f aca="false">IF($D32="","",$D32*$E32)</f>
        <v/>
      </c>
      <c r="G32" s="7" t="str">
        <f aca="false">IF($C32="","",$T$6)</f>
        <v/>
      </c>
      <c r="H32" s="6" t="str">
        <f aca="false">IF($F32="","",$F32*$G32)</f>
        <v/>
      </c>
      <c r="I32" s="8" t="str">
        <f aca="false">IF($C32="","",$C32*$T$2)</f>
        <v/>
      </c>
      <c r="J32" s="6" t="str">
        <f aca="false">IF($C32="","",$T$7)</f>
        <v/>
      </c>
      <c r="K32" s="6" t="str">
        <f aca="false">IF($I32="","",$I32*$J32)</f>
        <v/>
      </c>
      <c r="L32" s="9" t="str">
        <f aca="false">IF($M32="","",$T$8+($M32-1)*$T$9)</f>
        <v/>
      </c>
      <c r="M32" s="10"/>
      <c r="N32" s="6" t="str">
        <f aca="false">IF($C32="","",$C32*$T$3)</f>
        <v/>
      </c>
      <c r="O32" s="9" t="str">
        <f aca="false">IF($C32="","",$T$4)</f>
        <v/>
      </c>
      <c r="P32" s="9" t="str">
        <f aca="false">IF($C32="","",$T$5)</f>
        <v/>
      </c>
      <c r="Q32" s="11" t="str">
        <f aca="false">IF($H32="","",$H32-N($K32)-N($L32)-N($N32)-N($O32)-N($P32))</f>
        <v/>
      </c>
    </row>
    <row r="33" customFormat="false" ht="15" hidden="false" customHeight="false" outlineLevel="0" collapsed="false">
      <c r="A33" s="3"/>
      <c r="B33" s="3"/>
      <c r="C33" s="4"/>
      <c r="D33" s="5"/>
      <c r="E33" s="5"/>
      <c r="F33" s="6" t="str">
        <f aca="false">IF($D33="","",$D33*$E33)</f>
        <v/>
      </c>
      <c r="G33" s="7" t="str">
        <f aca="false">IF($C33="","",$T$6)</f>
        <v/>
      </c>
      <c r="H33" s="6" t="str">
        <f aca="false">IF($F33="","",$F33*$G33)</f>
        <v/>
      </c>
      <c r="I33" s="8" t="str">
        <f aca="false">IF($C33="","",$C33*$T$2)</f>
        <v/>
      </c>
      <c r="J33" s="6" t="str">
        <f aca="false">IF($C33="","",$T$7)</f>
        <v/>
      </c>
      <c r="K33" s="6" t="str">
        <f aca="false">IF($I33="","",$I33*$J33)</f>
        <v/>
      </c>
      <c r="L33" s="9" t="str">
        <f aca="false">IF($M33="","",$T$8+($M33-1)*$T$9)</f>
        <v/>
      </c>
      <c r="M33" s="10"/>
      <c r="N33" s="6" t="str">
        <f aca="false">IF($C33="","",$C33*$T$3)</f>
        <v/>
      </c>
      <c r="O33" s="9" t="str">
        <f aca="false">IF($C33="","",$T$4)</f>
        <v/>
      </c>
      <c r="P33" s="9" t="str">
        <f aca="false">IF($C33="","",$T$5)</f>
        <v/>
      </c>
      <c r="Q33" s="11" t="str">
        <f aca="false">IF($H33="","",$H33-N($K33)-N($L33)-N($N33)-N($O33)-N($P33))</f>
        <v/>
      </c>
    </row>
    <row r="34" customFormat="false" ht="15" hidden="false" customHeight="false" outlineLevel="0" collapsed="false">
      <c r="A34" s="3"/>
      <c r="B34" s="3"/>
      <c r="C34" s="4"/>
      <c r="D34" s="5"/>
      <c r="E34" s="5"/>
      <c r="F34" s="6" t="str">
        <f aca="false">IF($D34="","",$D34*$E34)</f>
        <v/>
      </c>
      <c r="G34" s="7" t="str">
        <f aca="false">IF($C34="","",$T$6)</f>
        <v/>
      </c>
      <c r="H34" s="6" t="str">
        <f aca="false">IF($F34="","",$F34*$G34)</f>
        <v/>
      </c>
      <c r="I34" s="8" t="str">
        <f aca="false">IF($C34="","",$C34*$T$2)</f>
        <v/>
      </c>
      <c r="J34" s="6" t="str">
        <f aca="false">IF($C34="","",$T$7)</f>
        <v/>
      </c>
      <c r="K34" s="6" t="str">
        <f aca="false">IF($I34="","",$I34*$J34)</f>
        <v/>
      </c>
      <c r="L34" s="9" t="str">
        <f aca="false">IF($M34="","",$T$8+($M34-1)*$T$9)</f>
        <v/>
      </c>
      <c r="M34" s="10"/>
      <c r="N34" s="6" t="str">
        <f aca="false">IF($C34="","",$C34*$T$3)</f>
        <v/>
      </c>
      <c r="O34" s="9" t="str">
        <f aca="false">IF($C34="","",$T$4)</f>
        <v/>
      </c>
      <c r="P34" s="9" t="str">
        <f aca="false">IF($C34="","",$T$5)</f>
        <v/>
      </c>
      <c r="Q34" s="11" t="str">
        <f aca="false">IF($H34="","",$H34-N($K34)-N($L34)-N($N34)-N($O34)-N($P34))</f>
        <v/>
      </c>
    </row>
    <row r="35" customFormat="false" ht="15" hidden="false" customHeight="false" outlineLevel="0" collapsed="false">
      <c r="A35" s="3"/>
      <c r="B35" s="3"/>
      <c r="C35" s="4"/>
      <c r="D35" s="5"/>
      <c r="E35" s="5"/>
      <c r="F35" s="6" t="str">
        <f aca="false">IF($D35="","",$D35*$E35)</f>
        <v/>
      </c>
      <c r="G35" s="7" t="str">
        <f aca="false">IF($C35="","",$T$6)</f>
        <v/>
      </c>
      <c r="H35" s="6" t="str">
        <f aca="false">IF($F35="","",$F35*$G35)</f>
        <v/>
      </c>
      <c r="I35" s="8" t="str">
        <f aca="false">IF($C35="","",$C35*$T$2)</f>
        <v/>
      </c>
      <c r="J35" s="6" t="str">
        <f aca="false">IF($C35="","",$T$7)</f>
        <v/>
      </c>
      <c r="K35" s="6" t="str">
        <f aca="false">IF($I35="","",$I35*$J35)</f>
        <v/>
      </c>
      <c r="L35" s="9" t="str">
        <f aca="false">IF($M35="","",$T$8+($M35-1)*$T$9)</f>
        <v/>
      </c>
      <c r="M35" s="10"/>
      <c r="N35" s="6" t="str">
        <f aca="false">IF($C35="","",$C35*$T$3)</f>
        <v/>
      </c>
      <c r="O35" s="9" t="str">
        <f aca="false">IF($C35="","",$T$4)</f>
        <v/>
      </c>
      <c r="P35" s="9" t="str">
        <f aca="false">IF($C35="","",$T$5)</f>
        <v/>
      </c>
      <c r="Q35" s="11" t="str">
        <f aca="false">IF($H35="","",$H35-N($K35)-N($L35)-N($N35)-N($O35)-N($P35))</f>
        <v/>
      </c>
    </row>
    <row r="36" customFormat="false" ht="15" hidden="false" customHeight="false" outlineLevel="0" collapsed="false">
      <c r="A36" s="3"/>
      <c r="B36" s="3"/>
      <c r="C36" s="4"/>
      <c r="D36" s="5"/>
      <c r="E36" s="5"/>
      <c r="F36" s="6" t="str">
        <f aca="false">IF($D36="","",$D36*$E36)</f>
        <v/>
      </c>
      <c r="G36" s="7" t="str">
        <f aca="false">IF($C36="","",$T$6)</f>
        <v/>
      </c>
      <c r="H36" s="6" t="str">
        <f aca="false">IF($F36="","",$F36*$G36)</f>
        <v/>
      </c>
      <c r="I36" s="8" t="str">
        <f aca="false">IF($C36="","",$C36*$T$2)</f>
        <v/>
      </c>
      <c r="J36" s="6" t="str">
        <f aca="false">IF($C36="","",$T$7)</f>
        <v/>
      </c>
      <c r="K36" s="6" t="str">
        <f aca="false">IF($I36="","",$I36*$J36)</f>
        <v/>
      </c>
      <c r="L36" s="9" t="str">
        <f aca="false">IF($M36="","",$T$8+($M36-1)*$T$9)</f>
        <v/>
      </c>
      <c r="M36" s="10"/>
      <c r="N36" s="6" t="str">
        <f aca="false">IF($C36="","",$C36*$T$3)</f>
        <v/>
      </c>
      <c r="O36" s="9" t="str">
        <f aca="false">IF($C36="","",$T$4)</f>
        <v/>
      </c>
      <c r="P36" s="9" t="str">
        <f aca="false">IF($C36="","",$T$5)</f>
        <v/>
      </c>
      <c r="Q36" s="11" t="str">
        <f aca="false">IF($H36="","",$H36-N($K36)-N($L36)-N($N36)-N($O36)-N($P36))</f>
        <v/>
      </c>
    </row>
    <row r="37" customFormat="false" ht="15" hidden="false" customHeight="false" outlineLevel="0" collapsed="false">
      <c r="A37" s="3"/>
      <c r="B37" s="3"/>
      <c r="C37" s="4"/>
      <c r="D37" s="5"/>
      <c r="E37" s="5"/>
      <c r="F37" s="6" t="str">
        <f aca="false">IF($D37="","",$D37*$E37)</f>
        <v/>
      </c>
      <c r="G37" s="7" t="str">
        <f aca="false">IF($C37="","",$T$6)</f>
        <v/>
      </c>
      <c r="H37" s="6" t="str">
        <f aca="false">IF($F37="","",$F37*$G37)</f>
        <v/>
      </c>
      <c r="I37" s="8" t="str">
        <f aca="false">IF($C37="","",$C37*$T$2)</f>
        <v/>
      </c>
      <c r="J37" s="6" t="str">
        <f aca="false">IF($C37="","",$T$7)</f>
        <v/>
      </c>
      <c r="K37" s="6" t="str">
        <f aca="false">IF($I37="","",$I37*$J37)</f>
        <v/>
      </c>
      <c r="L37" s="9" t="str">
        <f aca="false">IF($M37="","",$T$8+($M37-1)*$T$9)</f>
        <v/>
      </c>
      <c r="M37" s="10"/>
      <c r="N37" s="6" t="str">
        <f aca="false">IF($C37="","",$C37*$T$3)</f>
        <v/>
      </c>
      <c r="O37" s="9" t="str">
        <f aca="false">IF($C37="","",$T$4)</f>
        <v/>
      </c>
      <c r="P37" s="9" t="str">
        <f aca="false">IF($C37="","",$T$5)</f>
        <v/>
      </c>
      <c r="Q37" s="11" t="str">
        <f aca="false">IF($H37="","",$H37-N($K37)-N($L37)-N($N37)-N($O37)-N($P37))</f>
        <v/>
      </c>
    </row>
    <row r="38" customFormat="false" ht="15" hidden="false" customHeight="false" outlineLevel="0" collapsed="false">
      <c r="A38" s="3"/>
      <c r="B38" s="3"/>
      <c r="C38" s="4"/>
      <c r="D38" s="5"/>
      <c r="E38" s="5"/>
      <c r="F38" s="6" t="str">
        <f aca="false">IF($D38="","",$D38*$E38)</f>
        <v/>
      </c>
      <c r="G38" s="7" t="str">
        <f aca="false">IF($C38="","",$T$6)</f>
        <v/>
      </c>
      <c r="H38" s="6" t="str">
        <f aca="false">IF($F38="","",$F38*$G38)</f>
        <v/>
      </c>
      <c r="I38" s="8" t="str">
        <f aca="false">IF($C38="","",$C38*$T$2)</f>
        <v/>
      </c>
      <c r="J38" s="6" t="str">
        <f aca="false">IF($C38="","",$T$7)</f>
        <v/>
      </c>
      <c r="K38" s="6" t="str">
        <f aca="false">IF($I38="","",$I38*$J38)</f>
        <v/>
      </c>
      <c r="L38" s="9" t="str">
        <f aca="false">IF($M38="","",$T$8+($M38-1)*$T$9)</f>
        <v/>
      </c>
      <c r="M38" s="10"/>
      <c r="N38" s="6" t="str">
        <f aca="false">IF($C38="","",$C38*$T$3)</f>
        <v/>
      </c>
      <c r="O38" s="9" t="str">
        <f aca="false">IF($C38="","",$T$4)</f>
        <v/>
      </c>
      <c r="P38" s="9" t="str">
        <f aca="false">IF($C38="","",$T$5)</f>
        <v/>
      </c>
      <c r="Q38" s="11" t="str">
        <f aca="false">IF($H38="","",$H38-N($K38)-N($L38)-N($N38)-N($O38)-N($P38))</f>
        <v/>
      </c>
    </row>
    <row r="39" customFormat="false" ht="15" hidden="false" customHeight="false" outlineLevel="0" collapsed="false">
      <c r="A39" s="3"/>
      <c r="B39" s="3"/>
      <c r="C39" s="4"/>
      <c r="D39" s="5"/>
      <c r="E39" s="5"/>
      <c r="F39" s="6" t="str">
        <f aca="false">IF($D39="","",$D39*$E39)</f>
        <v/>
      </c>
      <c r="G39" s="7" t="str">
        <f aca="false">IF($C39="","",$T$6)</f>
        <v/>
      </c>
      <c r="H39" s="6" t="str">
        <f aca="false">IF($F39="","",$F39*$G39)</f>
        <v/>
      </c>
      <c r="I39" s="8" t="str">
        <f aca="false">IF($C39="","",$C39*$T$2)</f>
        <v/>
      </c>
      <c r="J39" s="6" t="str">
        <f aca="false">IF($C39="","",$T$7)</f>
        <v/>
      </c>
      <c r="K39" s="6" t="str">
        <f aca="false">IF($I39="","",$I39*$J39)</f>
        <v/>
      </c>
      <c r="L39" s="9" t="str">
        <f aca="false">IF($M39="","",$T$8+($M39-1)*$T$9)</f>
        <v/>
      </c>
      <c r="M39" s="10"/>
      <c r="N39" s="6" t="str">
        <f aca="false">IF($C39="","",$C39*$T$3)</f>
        <v/>
      </c>
      <c r="O39" s="9" t="str">
        <f aca="false">IF($C39="","",$T$4)</f>
        <v/>
      </c>
      <c r="P39" s="9" t="str">
        <f aca="false">IF($C39="","",$T$5)</f>
        <v/>
      </c>
      <c r="Q39" s="11" t="str">
        <f aca="false">IF($H39="","",$H39-N($K39)-N($L39)-N($N39)-N($O39)-N($P39))</f>
        <v/>
      </c>
    </row>
    <row r="40" customFormat="false" ht="15" hidden="false" customHeight="false" outlineLevel="0" collapsed="false">
      <c r="A40" s="3"/>
      <c r="B40" s="3"/>
      <c r="C40" s="4"/>
      <c r="D40" s="5"/>
      <c r="E40" s="5"/>
      <c r="F40" s="6" t="str">
        <f aca="false">IF($D40="","",$D40*$E40)</f>
        <v/>
      </c>
      <c r="G40" s="7" t="str">
        <f aca="false">IF($C40="","",$T$6)</f>
        <v/>
      </c>
      <c r="H40" s="6" t="str">
        <f aca="false">IF($F40="","",$F40*$G40)</f>
        <v/>
      </c>
      <c r="I40" s="8" t="str">
        <f aca="false">IF($C40="","",$C40*$T$2)</f>
        <v/>
      </c>
      <c r="J40" s="6" t="str">
        <f aca="false">IF($C40="","",$T$7)</f>
        <v/>
      </c>
      <c r="K40" s="6" t="str">
        <f aca="false">IF($I40="","",$I40*$J40)</f>
        <v/>
      </c>
      <c r="L40" s="9" t="str">
        <f aca="false">IF($M40="","",$T$8+($M40-1)*$T$9)</f>
        <v/>
      </c>
      <c r="M40" s="10"/>
      <c r="N40" s="6" t="str">
        <f aca="false">IF($C40="","",$C40*$T$3)</f>
        <v/>
      </c>
      <c r="O40" s="9" t="str">
        <f aca="false">IF($C40="","",$T$4)</f>
        <v/>
      </c>
      <c r="P40" s="9" t="str">
        <f aca="false">IF($C40="","",$T$5)</f>
        <v/>
      </c>
      <c r="Q40" s="11" t="str">
        <f aca="false">IF($H40="","",$H40-N($K40)-N($L40)-N($N40)-N($O40)-N($P40))</f>
        <v/>
      </c>
    </row>
    <row r="41" customFormat="false" ht="15" hidden="false" customHeight="false" outlineLevel="0" collapsed="false">
      <c r="A41" s="3"/>
      <c r="B41" s="3"/>
      <c r="C41" s="4"/>
      <c r="D41" s="5"/>
      <c r="E41" s="5"/>
      <c r="F41" s="6" t="str">
        <f aca="false">IF($D41="","",$D41*$E41)</f>
        <v/>
      </c>
      <c r="G41" s="7" t="str">
        <f aca="false">IF($C41="","",$T$6)</f>
        <v/>
      </c>
      <c r="H41" s="6" t="str">
        <f aca="false">IF($F41="","",$F41*$G41)</f>
        <v/>
      </c>
      <c r="I41" s="8" t="str">
        <f aca="false">IF($C41="","",$C41*$T$2)</f>
        <v/>
      </c>
      <c r="J41" s="6" t="str">
        <f aca="false">IF($C41="","",$T$7)</f>
        <v/>
      </c>
      <c r="K41" s="6" t="str">
        <f aca="false">IF($I41="","",$I41*$J41)</f>
        <v/>
      </c>
      <c r="L41" s="9" t="str">
        <f aca="false">IF($M41="","",$T$8+($M41-1)*$T$9)</f>
        <v/>
      </c>
      <c r="M41" s="10"/>
      <c r="N41" s="6" t="str">
        <f aca="false">IF($C41="","",$C41*$T$3)</f>
        <v/>
      </c>
      <c r="O41" s="9" t="str">
        <f aca="false">IF($C41="","",$T$4)</f>
        <v/>
      </c>
      <c r="P41" s="9" t="str">
        <f aca="false">IF($C41="","",$T$5)</f>
        <v/>
      </c>
      <c r="Q41" s="11" t="str">
        <f aca="false">IF($H41="","",$H41-N($K41)-N($L41)-N($N41)-N($O41)-N($P41))</f>
        <v/>
      </c>
    </row>
    <row r="43" customFormat="false" ht="15" hidden="false" customHeight="false" outlineLevel="0" collapsed="false">
      <c r="M43" s="18" t="s">
        <v>32</v>
      </c>
      <c r="Q43" s="19" t="n">
        <f aca="false">SUM(Q2:Q41)</f>
        <v>4696.5</v>
      </c>
    </row>
  </sheetData>
  <dataValidations count="1">
    <dataValidation allowBlank="true" error="Alege un număr de zile din listă (1–14)." errorStyle="stop" errorTitle="Valoare invalidă" operator="between" prompt="Alege numărul de zile pentru rută" promptTitle="Zile" showDropDown="false" showErrorMessage="false" showInputMessage="false" sqref="M2:M41" type="list">
      <formula1>"1,2,3,4,5,6,7,8,9,10,11,12,13,14"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2026-08-23T13:55:35Z</dcterms:created>
  <dc:creator>openpyxl</dc:creator>
  <dc:description/>
  <dc:language>en-US</dc:language>
  <cp:lastModifiedBy/>
  <dcterms:modified xsi:type="dcterms:W3CDTF">2026-08-23T13:55:35Z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